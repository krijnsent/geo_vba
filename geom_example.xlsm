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Castoro\Documents\GitHub\geo_vba\"/>
    </mc:Choice>
  </mc:AlternateContent>
  <xr:revisionPtr revIDLastSave="0" documentId="13_ncr:1_{9487A3B1-8D61-43B4-8970-2F591544C1B9}" xr6:coauthVersionLast="45" xr6:coauthVersionMax="45" xr10:uidLastSave="{00000000-0000-0000-0000-000000000000}"/>
  <bookViews>
    <workbookView xWindow="-108" yWindow="-108" windowWidth="23256" windowHeight="12576" xr2:uid="{00000000-000D-0000-FFFF-FFFF00000000}"/>
  </bookViews>
  <sheets>
    <sheet name="EXAMPLES" sheetId="2" r:id="rId1"/>
  </sheets>
  <functionGroups builtInGroupCount="19">
    <functionGroup name="Commands"/>
  </functionGroups>
  <externalReferences>
    <externalReference r:id="rId2"/>
  </externalReferences>
  <definedNames>
    <definedName name="ListAreaID">[1]!TblNameResults[AreaID]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9" i="2" l="1"/>
  <c r="G27" i="2"/>
  <c r="E9" i="2" a="1"/>
  <c r="E9" i="2" s="1"/>
  <c r="D16" i="2" s="1"/>
  <c r="D9" i="2" a="1"/>
  <c r="D9" i="2" s="1"/>
  <c r="E8" i="2" a="1"/>
  <c r="E8" i="2" s="1"/>
  <c r="D8" i="2" a="1"/>
  <c r="D8" i="2" s="1"/>
  <c r="D20" i="2" a="1"/>
  <c r="D21" i="2" a="1"/>
  <c r="D17" i="2" a="1"/>
  <c r="D22" i="2" a="1"/>
  <c r="D13" i="2" a="1"/>
  <c r="D13" i="2" l="1"/>
  <c r="D22" i="2"/>
  <c r="D17" i="2"/>
  <c r="D21" i="2"/>
  <c r="D20" i="2"/>
  <c r="D12" i="2"/>
  <c r="F29" i="2"/>
  <c r="G2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8"/>
        </ext>
      </extLst>
    </bk>
    <bk>
      <extLst>
        <ext uri="{3e2802c4-a4d2-4d8b-9148-e3be6c30e623}">
          <xlrd:rvb i="14"/>
        </ext>
      </extLst>
    </bk>
  </futureMetadata>
  <cellMetadata count="1">
    <bk>
      <rc t="1" v="0"/>
    </bk>
  </cellMetadata>
  <valueMetadata count="2">
    <bk>
      <rc t="2" v="0"/>
    </bk>
    <bk>
      <rc t="2" v="1"/>
    </bk>
  </valueMetadata>
</metadata>
</file>

<file path=xl/sharedStrings.xml><?xml version="1.0" encoding="utf-8"?>
<sst xmlns="http://schemas.openxmlformats.org/spreadsheetml/2006/main" count="27" uniqueCount="21">
  <si>
    <t>Excel 365 - geographic data types &amp; geographical calculations</t>
  </si>
  <si>
    <t>For geographic data types: see the menu "Data" -&gt; "Data types"</t>
  </si>
  <si>
    <t>Using geo_vba functions</t>
  </si>
  <si>
    <t>Geograpic data type</t>
  </si>
  <si>
    <t>Latitude</t>
  </si>
  <si>
    <t>Longitude</t>
  </si>
  <si>
    <t>Distance (in meters)</t>
  </si>
  <si>
    <t>Default Excel formula:</t>
  </si>
  <si>
    <t>Geo_vba formula:</t>
  </si>
  <si>
    <t>Surface (in square meters) of rectangle defined by 2 points</t>
  </si>
  <si>
    <t>Earth</t>
  </si>
  <si>
    <t>Earth radius in km</t>
  </si>
  <si>
    <t>Earth radius in miles</t>
  </si>
  <si>
    <t>Earth radius in nautical miles</t>
  </si>
  <si>
    <t>Decimal &amp; degree/minute/second</t>
  </si>
  <si>
    <t>Degree</t>
  </si>
  <si>
    <t>Minute</t>
  </si>
  <si>
    <t>Second</t>
  </si>
  <si>
    <t>Decimal</t>
  </si>
  <si>
    <t>Latitude, e.g. 52°45′8″N</t>
  </si>
  <si>
    <t>Latitude, e.g. -51,9229135 (=South)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</si>
</sst>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_(* #,##0.00_);_(* \(#,##0.00\);_(* &quot;-&quot;??_);_(@_)"/>
    <numFmt numFmtId="166" formatCode="#,###\ \m\²"/>
    <numFmt numFmtId="167" formatCode="_ * #,##0.0000_ ;_ * \-#,##0.0000_ ;_ * &quot;-&quot;??_ ;_ @_ "/>
  </numFmts>
  <fonts count="7">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i/>
      <sz val="11"/>
      <color theme="1"/>
      <name val="Calibri"/>
      <family val="2"/>
      <scheme val="minor"/>
    </font>
    <font>
      <sz val="8"/>
      <color theme="1"/>
      <name val="Inherit"/>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0" tint="-0.249977111117893"/>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4">
    <xf numFmtId="0" fontId="0" fillId="0" borderId="0"/>
    <xf numFmtId="165" fontId="1" fillId="0" borderId="0" applyFont="0" applyFill="0" applyBorder="0" applyAlignment="0" applyProtection="0"/>
    <xf numFmtId="0" fontId="2" fillId="2" borderId="1" applyNumberFormat="0" applyAlignment="0" applyProtection="0"/>
    <xf numFmtId="0" fontId="3" fillId="3" borderId="1" applyNumberFormat="0" applyAlignment="0" applyProtection="0"/>
  </cellStyleXfs>
  <cellXfs count="15">
    <xf numFmtId="0" fontId="0" fillId="0" borderId="0" xfId="0"/>
    <xf numFmtId="0" fontId="4" fillId="0" borderId="0" xfId="0" applyFont="1"/>
    <xf numFmtId="0" fontId="5" fillId="0" borderId="0" xfId="0" applyFont="1"/>
    <xf numFmtId="0" fontId="4" fillId="4" borderId="0" xfId="0" applyFont="1" applyFill="1"/>
    <xf numFmtId="0" fontId="0" fillId="4" borderId="0" xfId="0" applyFill="1"/>
    <xf numFmtId="0" fontId="2" fillId="2" borderId="1" xfId="2"/>
    <xf numFmtId="164" fontId="3" fillId="3" borderId="1" xfId="3" applyNumberFormat="1"/>
    <xf numFmtId="3" fontId="0" fillId="0" borderId="0" xfId="0" applyNumberFormat="1"/>
    <xf numFmtId="165" fontId="3" fillId="3" borderId="1" xfId="3" applyNumberFormat="1"/>
    <xf numFmtId="166" fontId="3" fillId="3" borderId="1" xfId="3" applyNumberFormat="1"/>
    <xf numFmtId="0" fontId="6" fillId="0" borderId="0" xfId="0" applyFont="1" applyAlignment="1">
      <alignment horizontal="left" vertical="center" indent="1"/>
    </xf>
    <xf numFmtId="165" fontId="0" fillId="0" borderId="0" xfId="1" applyFont="1"/>
    <xf numFmtId="167" fontId="3" fillId="3" borderId="1" xfId="3" applyNumberFormat="1"/>
    <xf numFmtId="167" fontId="2" fillId="2" borderId="1" xfId="2" applyNumberFormat="1"/>
    <xf numFmtId="0" fontId="3" fillId="3" borderId="1" xfId="3"/>
  </cellXfs>
  <cellStyles count="4">
    <cellStyle name="Berekening" xfId="3" builtinId="22"/>
    <cellStyle name="Invoer" xfId="2" builtinId="20"/>
    <cellStyle name="Komma" xfId="1" builtinId="3"/>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storo/Google%20Drive/dev_general/OSM_overpassturbo_0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rchMap1"/>
      <sheetName val="SearchMap2"/>
      <sheetName val="Output"/>
      <sheetName val="Murals"/>
      <sheetName val="MapFeatures"/>
      <sheetName val="CALC"/>
      <sheetName val="EXAMPLES"/>
    </sheetNames>
    <sheetDataSet>
      <sheetData sheetId="0"/>
      <sheetData sheetId="1"/>
      <sheetData sheetId="2"/>
      <sheetData sheetId="3"/>
      <sheetData sheetId="4"/>
      <sheetData sheetId="5"/>
      <sheetData sheetId="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15">
  <rv s="0">
    <v>https://www.bing.com</v>
    <v>Bing</v>
  </rv>
  <rv s="0">
    <v>https://www.bing.com/th?id=Ga%5Cbing_yt.png&amp;w=100&amp;h=40&amp;c=0&amp;pid=0.1</v>
    <v>Bing</v>
  </rv>
  <rv s="0">
    <v>https://creativecommons.org/licenses/by-sa/3.0</v>
    <v>CC BY-SA 3.0</v>
  </rv>
  <rv s="0">
    <v>http://en.wikipedia.org/wiki/Amsterdam</v>
    <v>Wikipedia</v>
  </rv>
  <rv s="1">
    <v>2</v>
    <v>3</v>
  </rv>
  <rv s="2">
    <v>12</v>
    <v>https://www.bing.com/th?id=AMMS_9320613d7816863ae5373a89212c298a&amp;qlt=95</v>
    <v>4</v>
    <v>https://www.bing.com/images/search?form=xlimg&amp;q=amsterdam</v>
    <v>Image of Amsterdam</v>
    <v/>
  </rv>
  <rv s="0">
    <v>https://www.bing.com/search?q=amsterdam&amp;form=skydnc</v>
    <v>Learn more on Bing</v>
  </rv>
  <rv s="3">
    <v>0</v>
    <v>1</v>
    <v>en-US</v>
    <v>0b840501-8599-9528-5b22-13589caf205a</v>
    <v>536870912</v>
    <v>536870913</v>
    <v>1</v>
    <v>Powered by Bing</v>
    <v>5</v>
    <v>6</v>
    <v>Amsterdam</v>
    <v>9</v>
    <v>10</v>
    <v>Map</v>
    <v>11</v>
    <v>North Holland</v>
    <v>219</v>
    <v>Netherlands</v>
    <v>Amsterdam is the capital and most populous city of the Netherlands with a population of 872,680 within the city proper, 1,380,872 in the urban area and 2,410,960 in the metropolitan area. Found within the province of North Holland, Amsterdam is colloquially referred to as the "Venice of the North", attributed by the large number of canals which form a UNESCO World Heritage Site.</v>
    <v>5</v>
    <v>52.373166300000001</v>
    <v>Femke Halsema (Mayor)</v>
    <v>6</v>
    <v>4.8906596000000002</v>
    <v>Amsterdam</v>
    <v>872680</v>
    <v>Central European Summer Time, Central European Time Zone, W. Europe Standard Time</v>
    <v>Amsterdam</v>
    <v>mdp/vdpid/7009530453665251330</v>
  </rv>
  <rv s="4">
    <v>7</v>
  </rv>
  <rv s="0">
    <v>http://en.wikipedia.org/wiki/Rotterdam</v>
    <v>Wikipedia</v>
  </rv>
  <rv s="1">
    <v>2</v>
    <v>9</v>
  </rv>
  <rv s="2">
    <v>12</v>
    <v>https://www.bing.com/th?id=AMMS_fe7b7a988a82d060b9a1e5a6354a4a78&amp;qlt=95</v>
    <v>10</v>
    <v>https://www.bing.com/images/search?form=xlimg&amp;q=rotterdam</v>
    <v>Image of Rotterdam</v>
    <v/>
  </rv>
  <rv s="0">
    <v>https://www.bing.com/search?q=rotterdam&amp;form=skydnc</v>
    <v>Learn more on Bing</v>
  </rv>
  <rv s="3">
    <v>0</v>
    <v>1</v>
    <v>en-US</v>
    <v>0899cfa0-2298-fe27-bae6-f81b272e59f6</v>
    <v>536870912</v>
    <v>536870913</v>
    <v>1</v>
    <v>Powered by Bing</v>
    <v>19</v>
    <v>6</v>
    <v>Rotterdam</v>
    <v>9</v>
    <v>10</v>
    <v>Map</v>
    <v>20</v>
    <v>South Holland</v>
    <v>319.35000000000002</v>
    <v>Netherlands</v>
    <v>Rotterdam is the 2nd largest city and municipality in the Netherlands. It is in the province of South Holland, at the mouth of the Nieuwe Maas channel leading into the Rhine–Meuse–Scheldt delta at the North Sea. Its history goes back to 1270, when a dam was constructed in the Rotte. In 1340, Rotterdam was granted city rights by the Count of Holland. The Rotterdam–The Hague metropolitan area, with a population of approximately 2.7 million, is the 13th-largest in the European Union and the most populous in the country.</v>
    <v>11</v>
    <v>51.9229135</v>
    <v>Ahmed Aboutaleb (Mayor)</v>
    <v>12</v>
    <v>4.4705846999999999</v>
    <v>Rotterdam</v>
    <v>651446</v>
    <v>Central European Summer Time, Central European Time Zone, W. Europe Standard Time</v>
    <v>Rotterdam</v>
    <v>mdp/vdpid/7009715621030002693</v>
  </rv>
  <rv s="4">
    <v>13</v>
  </rv>
</rvData>
</file>

<file path=xl/richData/rdrichvaluestructure.xml><?xml version="1.0" encoding="utf-8"?>
<rvStructures xmlns="http://schemas.microsoft.com/office/spreadsheetml/2017/richdata" count="5">
  <s t="_hyperlink">
    <k n="Address" t="s"/>
    <k n="Text" t="s"/>
  </s>
  <s t="_sourceattribution">
    <k n="License" t="r"/>
    <k n="Source" t="r"/>
  </s>
  <s t="_imageurl">
    <k n="_Provider" t="spb"/>
    <k n="Address" t="s"/>
    <k n="Attribution" t="r"/>
    <k n="More Images Address" t="s"/>
    <k n="Text" t="s"/>
    <k n="Blip Identifier" t="s"/>
  </s>
  <s t="_linkedentitycore">
    <k n="%DataProviderExternalLink" t="r"/>
    <k n="%DataProviderExternalLinkLogo" t="r"/>
    <k n="%EntityCulture" t="s"/>
    <k n="%EntityId" t="s"/>
    <k n="%EntityServiceId"/>
    <k n="%EntitySubDomainId"/>
    <k n="%IsRefreshable" t="b"/>
    <k n="%ProviderInfo" t="s"/>
    <k n="_Attribution" t="spb"/>
    <k n="_Display" t="spb"/>
    <k n="_DisplayString" t="s"/>
    <k n="_Flags" t="spb"/>
    <k n="_Format" t="spb"/>
    <k n="_Icon" t="s"/>
    <k n="_SubLabel" t="spb"/>
    <k n="Admin Division 1 (State/province/other)" t="s"/>
    <k n="Area"/>
    <k n="Country/region" t="s"/>
    <k n="Description" t="s"/>
    <k n="Image" t="r"/>
    <k n="Latitude"/>
    <k n="Leader(s)" t="s"/>
    <k n="LearnMoreOnLink" t="r"/>
    <k n="Longitude"/>
    <k n="Name" t="s"/>
    <k n="Population"/>
    <k n="Time zone(s)" t="s"/>
    <k n="UniqueName" t="s"/>
    <k n="VDPID/VSID" t="s"/>
  </s>
  <s t="_linkedentity">
    <k n="%cvi" t="r"/>
  </s>
</rvStructures>
</file>

<file path=xl/richData/rdsupportingpropertybag.xml><?xml version="1.0" encoding="utf-8"?>
<supportingPropertyBags xmlns="http://schemas.microsoft.com/office/spreadsheetml/2017/richdata2">
  <spbArrays count="1">
    <a count="29">
      <v t="s">%EntityServiceId</v>
      <v t="s">_Format</v>
      <v t="s">%EntitySubDomainId</v>
      <v t="s">%IsRefreshable</v>
      <v t="s">%EntityCulture</v>
      <v t="s">%EntityId</v>
      <v t="s">_Icon</v>
      <v t="s">_Attribution</v>
      <v t="s">Name</v>
      <v t="s">Admin Division 1 (State/province/other)</v>
      <v t="s">Country/region</v>
      <v t="s">Leader(s)</v>
      <v t="s">_SubLabel</v>
      <v t="s">Population</v>
      <v t="s">Area</v>
      <v t="s">Latitude</v>
      <v t="s">Longitude</v>
      <v t="s">Time zone(s)</v>
      <v t="s">_Flags</v>
      <v t="s">VDPID/VSID</v>
      <v t="s">UniqueName</v>
      <v t="s">_DisplayString</v>
      <v t="s">%ProviderInfo</v>
      <v t="s">%DataProviderExternalLink</v>
      <v t="s">%DataProviderExternalLinkLogo</v>
      <v t="s">LearnMoreOnLink</v>
      <v t="s">Image</v>
      <v t="s">Description</v>
      <v t="s">_Display</v>
    </a>
  </spbArrays>
  <spbData count="21">
    <spb s="0">
      <v xml:space="preserve">Wikipedia	</v>
      <v xml:space="preserve">CC-BY-SA	</v>
      <v xml:space="preserve">http://en.wikipedia.org/wiki/Amsterdam	</v>
      <v xml:space="preserve">http://creativecommons.org/licenses/by-sa/3.0/	</v>
    </spb>
    <spb s="0">
      <v xml:space="preserve">Wikipedia	Sec	Weathertrends360	</v>
      <v xml:space="preserve">CC-BY-SA			</v>
      <v xml:space="preserve">http://en.wikipedia.org/wiki/Amsterdam	https://www.sec.gov/cgi-bin/browse-edgar?action=getcompany&amp;CIK=0001707753	https://www.weathertrends360.com/	</v>
      <v xml:space="preserve">http://creativecommons.org/licenses/by-sa/3.0/			</v>
    </spb>
    <spb s="0">
      <v xml:space="preserve">Wikipedia	Wikipedia	</v>
      <v xml:space="preserve">CC-BY-SA	CC-BY-SA	</v>
      <v xml:space="preserve">http://en.wikipedia.org/wiki/Amsterdam	https://en.wikipedia.org/wiki/Amsterdam	</v>
      <v xml:space="preserve">http://creativecommons.org/licenses/by-sa/3.0/	http://creativecommons.org/licenses/by-sa/3.0/	</v>
    </spb>
    <spb s="0">
      <v xml:space="preserve">Wikipedia	Wikipedia	</v>
      <v xml:space="preserve">CC-BY-SA	CC-BY-SA	</v>
      <v xml:space="preserve">http://en.wikipedia.org/wiki/Amsterdam	http://en.wikipedia.org/wiki/Amsterdam	</v>
      <v xml:space="preserve">http://creativecommons.org/licenses/by-sa/3.0/	http://creativecommons.org/licenses/by-sa/3.0/	</v>
    </spb>
    <spb s="0">
      <v xml:space="preserve">Wikipedia	Wikipedia	Sec	</v>
      <v xml:space="preserve">CC-BY-SA	CC-BY-SA		</v>
      <v xml:space="preserve">http://en.wikipedia.org/wiki/Amsterdam	https://en.wikipedia.org/wiki/Amsterdam	https://www.sec.gov/cgi-bin/browse-edgar?action=getcompany&amp;CIK=0001707753	</v>
      <v xml:space="preserve">http://creativecommons.org/licenses/by-sa/3.0/	http://creativecommons.org/licenses/by-sa/3.0/		</v>
    </spb>
    <spb s="1">
      <v>0</v>
      <v>1</v>
      <v>2</v>
      <v>0</v>
      <v>1</v>
      <v>0</v>
      <v>3</v>
      <v>4</v>
      <v>0</v>
    </spb>
    <spb s="2">
      <v>0</v>
    </spb>
    <spb s="3">
      <v>0</v>
      <v>0</v>
    </spb>
    <spb s="4">
      <v>0</v>
      <v>0</v>
      <v>0</v>
    </spb>
    <spb s="5">
      <v>7</v>
      <v>8</v>
      <v>8</v>
      <v>7</v>
      <v>8</v>
      <v>8</v>
      <v>8</v>
    </spb>
    <spb s="6">
      <v>1</v>
      <v>2</v>
      <v>3</v>
      <v>4</v>
      <v>4</v>
      <v>1</v>
      <v>5</v>
      <v>6</v>
      <v>7</v>
      <v>7</v>
    </spb>
    <spb s="7">
      <v>square km</v>
      <v>2019</v>
    </spb>
    <spb s="8">
      <v>https://www.bing.com</v>
      <v>https://www.bing.com/th?id=Ga%5Cbing_yt.png&amp;w=100&amp;h=40&amp;c=0&amp;pid=0.1</v>
      <v>Powered by Bing</v>
    </spb>
    <spb s="0">
      <v xml:space="preserve">Wikipedia	Wikipedia	</v>
      <v xml:space="preserve">CC-BY-SA	CC-BY-SA	</v>
      <v xml:space="preserve">http://en.wikipedia.org/wiki/Rotterdam	http://fr.wikipedia.org/wiki/Rotterdam	</v>
      <v xml:space="preserve">http://creativecommons.org/licenses/by-sa/3.0/	http://creativecommons.org/licenses/by-sa/3.0/	</v>
    </spb>
    <spb s="0">
      <v xml:space="preserve">Wikipedia	Sec	Weathertrends360	</v>
      <v xml:space="preserve">CC-BY-SA			</v>
      <v xml:space="preserve">http://en.wikipedia.org/wiki/Rotterdam	https://www.sec.gov/cgi-bin/browse-edgar?action=getcompany&amp;CIK=0001418773	https://www.weathertrends360.com/	</v>
      <v xml:space="preserve">http://creativecommons.org/licenses/by-sa/3.0/			</v>
    </spb>
    <spb s="0">
      <v xml:space="preserve">Wikipedia	Wikipedia	Wikipedia	</v>
      <v xml:space="preserve">CC-BY-SA	CC-BY-SA	CC-BY-SA	</v>
      <v xml:space="preserve">http://en.wikipedia.org/wiki/Rotterdam	http://de.wikipedia.org/wiki/Rotterdam	https://en.wikipedia.org/wiki/Rotterdam	</v>
      <v xml:space="preserve">http://creativecommons.org/licenses/by-sa/3.0/	http://creativecommons.org/licenses/by-sa/3.0/	http://creativecommons.org/licenses/by-sa/3.0/	</v>
    </spb>
    <spb s="0">
      <v xml:space="preserve">Wikipedia	</v>
      <v xml:space="preserve">CC-BY-SA	</v>
      <v xml:space="preserve">http://en.wikipedia.org/wiki/Rotterdam	</v>
      <v xml:space="preserve">http://creativecommons.org/licenses/by-sa/3.0/	</v>
    </spb>
    <spb s="0">
      <v xml:space="preserve">Wikipedia	Wikipedia	</v>
      <v xml:space="preserve">CC-BY-SA	CC-BY-SA	</v>
      <v xml:space="preserve">http://en.wikipedia.org/wiki/Rotterdam	http://en.wikipedia.org/wiki/Rotterdam	</v>
      <v xml:space="preserve">http://creativecommons.org/licenses/by-sa/3.0/	http://creativecommons.org/licenses/by-sa/3.0/	</v>
    </spb>
    <spb s="0">
      <v xml:space="preserve">Wikipedia	Wikipedia	Sec	</v>
      <v xml:space="preserve">CC-BY-SA	CC-BY-SA		</v>
      <v xml:space="preserve">http://en.wikipedia.org/wiki/Rotterdam	https://en.wikipedia.org/wiki/Rotterdam	https://www.sec.gov/cgi-bin/browse-edgar?action=getcompany&amp;CIK=0001418773	</v>
      <v xml:space="preserve">http://creativecommons.org/licenses/by-sa/3.0/	http://creativecommons.org/licenses/by-sa/3.0/		</v>
    </spb>
    <spb s="1">
      <v>13</v>
      <v>14</v>
      <v>15</v>
      <v>16</v>
      <v>14</v>
      <v>16</v>
      <v>17</v>
      <v>18</v>
      <v>16</v>
    </spb>
    <spb s="7">
      <v>square km</v>
      <v>2020</v>
    </spb>
  </spbData>
</supportingPropertyBags>
</file>

<file path=xl/richData/rdsupportingpropertybagstructure.xml><?xml version="1.0" encoding="utf-8"?>
<spbStructures xmlns="http://schemas.microsoft.com/office/spreadsheetml/2017/richdata2" count="9">
  <s>
    <k n="SourceText" t="s"/>
    <k n="LicenseText" t="s"/>
    <k n="SourceAddress" t="s"/>
    <k n="LicenseAddress" t="s"/>
  </s>
  <s>
    <k n="Area" t="spb"/>
    <k n="Name" t="spb"/>
    <k n="Leader(s)" t="spb"/>
    <k n="Population" t="spb"/>
    <k n="UniqueName" t="spb"/>
    <k n="Description" t="spb"/>
    <k n="Time zone(s)" t="spb"/>
    <k n="Country/region" t="spb"/>
    <k n="Admin Division 1 (State/province/other)" t="spb"/>
  </s>
  <s>
    <k n="^Order" t="spba"/>
  </s>
  <s>
    <k n="ShowInDotNotation" t="b"/>
    <k n="ShowInAutoComplete" t="b"/>
  </s>
  <s>
    <k n="ShowInCardView" t="b"/>
    <k n="ShowInDotNotation" t="b"/>
    <k n="ShowInAutoComplete" t="b"/>
  </s>
  <s>
    <k n="Image" t="spb"/>
    <k n="UniqueName" t="spb"/>
    <k n="VDPID/VSID" t="spb"/>
    <k n="Description" t="spb"/>
    <k n="%ProviderInfo" t="spb"/>
    <k n="%DataProviderExternalLink" t="spb"/>
    <k n="%DataProviderExternalLinkLogo" t="spb"/>
  </s>
  <s>
    <k n="Area" t="i"/>
    <k n="Name" t="i"/>
    <k n="Image" t="i"/>
    <k n="Latitude" t="i"/>
    <k n="Longitude" t="i"/>
    <k n="Population" t="i"/>
    <k n="Description" t="i"/>
    <k n="_DisplayString" t="i"/>
    <k n="%EntityServiceId" t="i"/>
    <k n="%EntitySubDomainId" t="i"/>
  </s>
  <s>
    <k n="Area" t="s"/>
    <k n="Population" t="s"/>
  </s>
  <s>
    <k n="link" t="s"/>
    <k n="logo" t="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3">
    <x:dxf>
      <x:numFmt numFmtId="3" formatCode="#,##0"/>
    </x:dxf>
    <x:dxf>
      <x:numFmt numFmtId="164" formatCode="0.0000"/>
    </x:dxf>
    <x:dxf>
      <x:numFmt numFmtId="2" formatCode="0.00"/>
    </x:dxf>
  </dxfs>
  <richProperties>
    <rPr n="IsTitleField" t="b"/>
    <rPr n="IsHeroField" t="b"/>
    <rPr n="RequiresInlineAttribution" t="b"/>
    <rPr n="ShouldShowInCell" t="b"/>
  </richProperties>
  <richStyles>
    <rSty dxfid="0"/>
    <rSty>
      <rpv i="0">1</rpv>
    </rSty>
    <rSty>
      <rpv i="1">1</rpv>
    </rSty>
    <rSty dxfid="1"/>
    <rSty>
      <rpv i="2">1</rpv>
    </rSty>
    <rSty>
      <rpv i="3">1</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1FDEB-05DE-4CF1-8B30-C32E4805FFEE}">
  <sheetPr codeName="Blad3"/>
  <dimension ref="B2:H29"/>
  <sheetViews>
    <sheetView tabSelected="1" workbookViewId="0">
      <selection activeCell="D17" sqref="D17"/>
    </sheetView>
  </sheetViews>
  <sheetFormatPr defaultRowHeight="14.4"/>
  <cols>
    <col min="1" max="2" width="2.77734375" customWidth="1"/>
    <col min="3" max="3" width="33.88671875" customWidth="1"/>
    <col min="4" max="4" width="25" customWidth="1"/>
    <col min="5" max="5" width="16.44140625" customWidth="1"/>
    <col min="6" max="6" width="14.5546875" customWidth="1"/>
    <col min="7" max="7" width="14.6640625" customWidth="1"/>
  </cols>
  <sheetData>
    <row r="2" spans="2:8">
      <c r="B2" s="1" t="s">
        <v>0</v>
      </c>
    </row>
    <row r="3" spans="2:8">
      <c r="C3" s="2" t="s">
        <v>1</v>
      </c>
    </row>
    <row r="4" spans="2:8">
      <c r="C4" s="2" t="s">
        <v>2</v>
      </c>
    </row>
    <row r="5" spans="2:8">
      <c r="C5" s="2"/>
    </row>
    <row r="6" spans="2:8">
      <c r="B6" s="3" t="s">
        <v>3</v>
      </c>
      <c r="C6" s="4"/>
      <c r="D6" s="4"/>
      <c r="E6" s="4"/>
      <c r="F6" s="4"/>
      <c r="G6" s="4"/>
      <c r="H6" s="4"/>
    </row>
    <row r="7" spans="2:8">
      <c r="D7" s="1" t="s">
        <v>4</v>
      </c>
      <c r="E7" s="1" t="s">
        <v>5</v>
      </c>
    </row>
    <row r="8" spans="2:8">
      <c r="C8" s="5" t="e" vm="1">
        <v>#VALUE!</v>
      </c>
      <c r="D8" s="6" cm="1">
        <f t="array" ref="D8">_FV(C8,"Latitude")</f>
        <v>52.373166300000001</v>
      </c>
      <c r="E8" s="6" cm="1">
        <f t="array" ref="E8">_FV(C8,"Longitude")</f>
        <v>4.8906596000000002</v>
      </c>
      <c r="F8" s="7"/>
    </row>
    <row r="9" spans="2:8">
      <c r="C9" s="5" t="e" vm="2">
        <v>#VALUE!</v>
      </c>
      <c r="D9" s="6" cm="1">
        <f t="array" ref="D9">_FV(C9,"Latitude")</f>
        <v>51.9229135</v>
      </c>
      <c r="E9" s="6" cm="1">
        <f t="array" ref="E9">_FV(C9,"Longitude")</f>
        <v>4.4705846999999999</v>
      </c>
    </row>
    <row r="11" spans="2:8">
      <c r="B11" s="3" t="s">
        <v>6</v>
      </c>
      <c r="C11" s="4"/>
      <c r="D11" s="4"/>
      <c r="E11" s="4"/>
      <c r="F11" s="4"/>
      <c r="G11" s="4"/>
      <c r="H11" s="4"/>
    </row>
    <row r="12" spans="2:8">
      <c r="C12" t="s">
        <v>7</v>
      </c>
      <c r="D12" s="8">
        <f>ACOS(COS(RADIANS(90-D9)) *COS(RADIANS(90-D8)) +SIN(RADIANS(90-D9)) *SIN(RADIANS(90-D8)) *COS(RADIANS(E9-E8))) *6371*1000</f>
        <v>57689.658082778951</v>
      </c>
    </row>
    <row r="13" spans="2:8">
      <c r="C13" t="s">
        <v>8</v>
      </c>
      <c r="D13" s="8" cm="1">
        <f t="array" ref="D13">geo_distance(D8,E8,D9,E9)</f>
        <v>57689.416119538808</v>
      </c>
    </row>
    <row r="15" spans="2:8">
      <c r="B15" s="3" t="s">
        <v>9</v>
      </c>
      <c r="C15" s="4"/>
      <c r="D15" s="4"/>
      <c r="E15" s="4"/>
      <c r="F15" s="4"/>
      <c r="G15" s="4"/>
      <c r="H15" s="4"/>
    </row>
    <row r="16" spans="2:8">
      <c r="C16" t="s">
        <v>7</v>
      </c>
      <c r="D16" s="9">
        <f>(6371*1000*2*PI())^2*ABS((E9-E8)/360*(COS(RADIANS(D9))+COS(RADIANS(D8)))*(D9-D8)/360/2)</f>
        <v>1434999142.5465024</v>
      </c>
      <c r="G16" s="10"/>
    </row>
    <row r="17" spans="2:8">
      <c r="C17" t="s">
        <v>8</v>
      </c>
      <c r="D17" s="9" cm="1">
        <f t="array" ref="D17">geo_surface(D8,E8,D9,E9)</f>
        <v>1434994489.9362266</v>
      </c>
      <c r="G17" s="10"/>
    </row>
    <row r="18" spans="2:8">
      <c r="D18" s="11"/>
    </row>
    <row r="19" spans="2:8">
      <c r="B19" s="3" t="s">
        <v>10</v>
      </c>
      <c r="C19" s="4"/>
      <c r="D19" s="4"/>
      <c r="E19" s="4"/>
      <c r="F19" s="4"/>
      <c r="G19" s="4"/>
      <c r="H19" s="4"/>
    </row>
    <row r="20" spans="2:8">
      <c r="C20" s="1" t="s">
        <v>11</v>
      </c>
      <c r="D20" s="8" cm="1">
        <f t="array" ref="D20">geo_earth_radius()</f>
        <v>6370.9732786200002</v>
      </c>
    </row>
    <row r="21" spans="2:8">
      <c r="C21" s="1" t="s">
        <v>12</v>
      </c>
      <c r="D21" s="8" cm="1">
        <f t="array" ref="D21">geo_earth_radius("mi")</f>
        <v>3958.7392617999999</v>
      </c>
    </row>
    <row r="22" spans="2:8">
      <c r="C22" s="1" t="s">
        <v>13</v>
      </c>
      <c r="D22" s="8" cm="1">
        <f t="array" ref="D22">geo_earth_radius("nm")</f>
        <v>3437.7467700000002</v>
      </c>
    </row>
    <row r="24" spans="2:8">
      <c r="B24" s="3" t="s">
        <v>14</v>
      </c>
      <c r="C24" s="4"/>
      <c r="D24" s="4"/>
      <c r="E24" s="4"/>
      <c r="F24" s="4"/>
      <c r="G24" s="4"/>
      <c r="H24" s="4"/>
    </row>
    <row r="26" spans="2:8">
      <c r="D26" s="1" t="s">
        <v>15</v>
      </c>
      <c r="E26" s="1" t="s">
        <v>16</v>
      </c>
      <c r="F26" s="1" t="s">
        <v>17</v>
      </c>
      <c r="G26" s="1" t="s">
        <v>18</v>
      </c>
    </row>
    <row r="27" spans="2:8">
      <c r="C27" t="s">
        <v>19</v>
      </c>
      <c r="D27" s="5">
        <v>52</v>
      </c>
      <c r="E27" s="5">
        <v>45</v>
      </c>
      <c r="F27" s="5">
        <v>8</v>
      </c>
      <c r="G27" s="12">
        <f>D27+(E27/60)+(F27/60/60)</f>
        <v>52.752222222222223</v>
      </c>
    </row>
    <row r="28" spans="2:8">
      <c r="D28" s="1" t="s">
        <v>18</v>
      </c>
      <c r="E28" s="1" t="s">
        <v>15</v>
      </c>
      <c r="F28" s="1" t="s">
        <v>16</v>
      </c>
      <c r="G28" s="1" t="s">
        <v>17</v>
      </c>
    </row>
    <row r="29" spans="2:8">
      <c r="C29" t="s">
        <v>20</v>
      </c>
      <c r="D29" s="13">
        <v>-51.9229135</v>
      </c>
      <c r="E29" s="14">
        <f>ROUNDDOWN(D29,0)</f>
        <v>-51</v>
      </c>
      <c r="F29" s="14">
        <f>ROUNDDOWN(((D29-E29)*60),0)</f>
        <v>-55</v>
      </c>
      <c r="G29" s="6">
        <f>((D29-(E29+(F29/60)))*60*60)</f>
        <v>-22.488600000008319</v>
      </c>
    </row>
  </sheetData>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vt:i4>
      </vt:variant>
    </vt:vector>
  </HeadingPairs>
  <TitlesOfParts>
    <vt:vector size="1" baseType="lpstr">
      <vt:lpstr>EXAMPLES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Koen Rijnsent</dc:creator>
  <cp:lastModifiedBy>Koen Rijnsent</cp:lastModifiedBy>
  <dcterms:created xsi:type="dcterms:W3CDTF">2015-06-05T18:19:34Z</dcterms:created>
  <dcterms:modified xsi:type="dcterms:W3CDTF">2020-09-22T11:18:01Z</dcterms:modified>
</cp:coreProperties>
</file>