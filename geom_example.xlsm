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Castoro\Documents\GitHub\geo_vba\"/>
    </mc:Choice>
  </mc:AlternateContent>
  <xr:revisionPtr revIDLastSave="0" documentId="13_ncr:1_{68C7A870-A720-4AFF-8E21-15D945B85BED}" xr6:coauthVersionLast="45" xr6:coauthVersionMax="45" xr10:uidLastSave="{00000000-0000-0000-0000-000000000000}"/>
  <bookViews>
    <workbookView xWindow="-120" yWindow="-120" windowWidth="25440" windowHeight="15390" xr2:uid="{00000000-000D-0000-FFFF-FFFF00000000}"/>
  </bookViews>
  <sheets>
    <sheet name="EXAMPLES" sheetId="5" r:id="rId1"/>
  </sheets>
  <functionGroups builtInGroupCount="19">
    <functionGroup name="Geo_vba formulas"/>
  </functionGroups>
  <externalReferences>
    <externalReference r:id="rId2"/>
  </externalReferences>
  <definedNames>
    <definedName name="ListAreaID">[1]!TblNameResults[AreaID]</definedName>
  </definedNames>
  <calcPr calcId="191029"/>
  <extLst>
    <ext xmlns:x14="http://schemas.microsoft.com/office/spreadsheetml/2009/9/main" uri="{8193D73E-4604-4355-AFF4-8A2333D13BE4}">
      <x14:definedNames>
        <x14:definedName name="geo_distance">
          <x14:argumentDescriptions count="4">
            <x14:argumentDescription index="0">Latitude (north-south) of coordinate 1, from -90 to +90</x14:argumentDescription>
            <x14:argumentDescription index="1">Longitude (east-west) of coordinate 1, from -180 to +180</x14:argumentDescription>
            <x14:argumentDescription index="2">Latitude (north-south) of coordinate 2, from -90 to +90</x14:argumentDescription>
            <x14:argumentDescription index="3">Longitude (east-west) of coordinate 2, from -180 to +180</x14:argumentDescription>
          </x14:argumentDescriptions>
        </x14:definedName>
        <x14:definedName name="geo_earth_radius">
          <x14:argumentDescriptions count="1">
            <x14:argumentDescription index="0">Optional unit kilometers, miles, nautical miles: km, mi, nm</x14:argumentDescription>
          </x14:argumentDescriptions>
        </x14:definedName>
        <x14:definedName name="geo_img_data">
          <x14:argumentDescriptions count="2">
            <x14:argumentDescription index="0">Filename, including path, e.g. C:\temp\my_img.jpg</x14:argumentDescription>
            <x14:argumentDescription index="1">Default is latitude&amp;longitude. Extra file info to retreive from WIA, comma separated. E.g. DateTime,EquipMake,EquipModel,ExifPixXDim,ExifPixYDim</x14:argumentDescription>
          </x14:argumentDescriptions>
        </x14:definedName>
        <x14:definedName name="geo_nom_reverse">
          <x14:argumentDescriptions count="4">
            <x14:argumentDescription index="0">Latitude (north-south) of coordinate 1, from -90 to +90</x14:argumentDescription>
            <x14:argumentDescription index="1">Longitude (east-west) of coordinate 1, from -180 to +180</x14:argumentDescription>
            <x14:argumentDescription index="2">Default: return values in one cell, False: return every element in a different cell</x14:argumentDescription>
            <x14:argumentDescription index="3">Comma separated list of result columns. Default: all. Other options e.g. house_number,road,neighbourhood,city,state,country,country_code</x14:argumentDescription>
          </x14:argumentDescriptions>
        </x14:definedName>
        <x14:definedName name="geo_nom_search">
          <x14:argumentDescriptions count="4">
            <x14:argumentDescription index="0">Address input, e.g. main street or Amsterdam,nl</x14:argumentDescription>
            <x14:argumentDescription index="1">Number of results, now fixed to 1</x14:argumentDescription>
            <x14:argumentDescription index="2">Default: return values in one cell, False: return every element in a different cell</x14:argumentDescription>
            <x14:argumentDescription index="3">Comma separated list of result columns. Default: all. Other options e.g. lat,lon,display_name,place_id,osm_type,osm_id,place_rank,boundingbox,class,type,importance</x14:argumentDescription>
          </x14:argumentDescriptions>
        </x14:definedName>
        <x14:definedName name="geo_surface">
          <x14:argumentDescriptions count="4">
            <x14:argumentDescription index="0">Latitude (north-south) of coordinate 1, from -90 to +90</x14:argumentDescription>
            <x14:argumentDescription index="1">Longitude (east-west) of coordinate 1, from -180 to +180</x14:argumentDescription>
            <x14:argumentDescription index="2">Latitude (north-south) of coordinate 2, from -90 to +90</x14:argumentDescription>
            <x14:argumentDescription index="3">Longitude (east-west) of coordinate 2, from -180 to +180</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9" i="5" l="1"/>
  <c r="G27" i="5"/>
  <c r="E9" i="5" a="1"/>
  <c r="E9" i="5" s="1"/>
  <c r="D9" i="5" a="1"/>
  <c r="D9" i="5" s="1"/>
  <c r="E8" i="5" a="1"/>
  <c r="E8" i="5" s="1"/>
  <c r="D8" i="5" a="1"/>
  <c r="D8" i="5" s="1"/>
  <c r="E69" i="5" a="1"/>
  <c r="E67" i="5" a="1"/>
  <c r="D38" i="5" a="1"/>
  <c r="E53" i="5" a="1"/>
  <c r="D17" i="5" a="1"/>
  <c r="D20" i="5" a="1"/>
  <c r="D36" i="5" a="1"/>
  <c r="D21" i="5" a="1"/>
  <c r="D22" i="5" a="1"/>
  <c r="D44" i="5" a="1"/>
  <c r="E61" i="5" a="1"/>
  <c r="E51" i="5" a="1"/>
  <c r="D13" i="5" a="1"/>
  <c r="E67" i="5" l="1"/>
  <c r="E69" i="5"/>
  <c r="D17" i="5"/>
  <c r="D21" i="5"/>
  <c r="D36" i="5"/>
  <c r="D44" i="5"/>
  <c r="E53" i="5"/>
  <c r="D13" i="5"/>
  <c r="D20" i="5"/>
  <c r="D22" i="5"/>
  <c r="D38" i="5"/>
  <c r="E51" i="5"/>
  <c r="E61" i="5"/>
  <c r="D12" i="5"/>
  <c r="D16" i="5"/>
  <c r="F29" i="5"/>
  <c r="G29"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8"/>
        </ext>
      </extLst>
    </bk>
    <bk>
      <extLst>
        <ext uri="{3e2802c4-a4d2-4d8b-9148-e3be6c30e623}">
          <xlrd:rvb i="15"/>
        </ext>
      </extLst>
    </bk>
  </futureMetadata>
  <cellMetadata count="1">
    <bk>
      <rc t="1" v="0"/>
    </bk>
  </cellMetadata>
  <valueMetadata count="2">
    <bk>
      <rc t="2" v="0"/>
    </bk>
    <bk>
      <rc t="2" v="1"/>
    </bk>
  </valueMetadata>
</metadata>
</file>

<file path=xl/sharedStrings.xml><?xml version="1.0" encoding="utf-8"?>
<sst xmlns="http://schemas.openxmlformats.org/spreadsheetml/2006/main" count="44" uniqueCount="38">
  <si>
    <t>For geographic data types: see the menu "Data" -&gt; "Data types"</t>
  </si>
  <si>
    <t>Using geo_vba functions</t>
  </si>
  <si>
    <t>Latitude</t>
  </si>
  <si>
    <t>Longitude</t>
  </si>
  <si>
    <t>Distance (in meters)</t>
  </si>
  <si>
    <t>Default Excel formula:</t>
  </si>
  <si>
    <t>Geo_vba formula:</t>
  </si>
  <si>
    <t>Surface (in square meters) of rectangle defined by 2 points</t>
  </si>
  <si>
    <t>Earth</t>
  </si>
  <si>
    <t>Earth radius in km</t>
  </si>
  <si>
    <t>Earth radius in miles</t>
  </si>
  <si>
    <t>Earth radius in nautical miles</t>
  </si>
  <si>
    <t>Decimal &amp; degree/minute/second</t>
  </si>
  <si>
    <t>Degree</t>
  </si>
  <si>
    <t>Minute</t>
  </si>
  <si>
    <t>Second</t>
  </si>
  <si>
    <t>Decimal</t>
  </si>
  <si>
    <t>Latitude, e.g. 52°45′8″N</t>
  </si>
  <si>
    <t>Latitude, e.g. -51,9229135 (=South)</t>
  </si>
  <si>
    <t>Geographic calculations</t>
  </si>
  <si>
    <t>Geograpic data type - office 365</t>
  </si>
  <si>
    <t>OSM functions</t>
  </si>
  <si>
    <t>Lookup of address/location - using nominatim.openstreetmap.org</t>
  </si>
  <si>
    <t>dorpsstraat</t>
  </si>
  <si>
    <t>dorpsstraat,langedijk</t>
  </si>
  <si>
    <t>Reverse lookup from latitude &amp; longitude - using nominatim.openstreetmap.org</t>
  </si>
  <si>
    <t>Default lookup, respons in 1 cell</t>
  </si>
  <si>
    <t>oude gracht</t>
  </si>
  <si>
    <t>Response extended with various properties, in different cells</t>
  </si>
  <si>
    <t>Response in different cells with the OSM display_name</t>
  </si>
  <si>
    <t>Simple example</t>
  </si>
  <si>
    <t>Example, set to split to different cells</t>
  </si>
  <si>
    <t>Example, just postal code and country</t>
  </si>
  <si>
    <t>Extract information from image: latitude &amp; longitude &amp; more</t>
  </si>
  <si>
    <t>Simple example, returning the latitude &amp; longitude from a photo (0 and 0 means that there are no coordinates)</t>
  </si>
  <si>
    <t>C:\Users\Castoro\Pictures\desktopbackground\20180512_112401.jpg</t>
  </si>
  <si>
    <t>Extended example with more image properties</t>
  </si>
  <si>
    <t>C:\Users\Castoro\Pictures\desktopbackground\20180717_110633.jpg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</si>
</sst>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_(* #,##0.00_);_(* \(#,##0.00\);_(* &quot;-&quot;??_);_(@_)"/>
    <numFmt numFmtId="166" formatCode="#,###\ \m\²"/>
    <numFmt numFmtId="167" formatCode="_ * #,##0.0000_ ;_ * \-#,##0.0000_ ;_ * &quot;-&quot;??_ ;_ @_ "/>
  </numFmts>
  <fonts count="7">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i/>
      <sz val="11"/>
      <color theme="1"/>
      <name val="Calibri"/>
      <family val="2"/>
      <scheme val="minor"/>
    </font>
    <font>
      <sz val="8"/>
      <color theme="1"/>
      <name val="Inherit"/>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0" tint="-0.249977111117893"/>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5">
    <xf numFmtId="0" fontId="0" fillId="0" borderId="0"/>
    <xf numFmtId="0" fontId="2" fillId="2" borderId="1" applyNumberFormat="0" applyAlignment="0" applyProtection="0"/>
    <xf numFmtId="0" fontId="3" fillId="3" borderId="1" applyNumberFormat="0" applyAlignment="0" applyProtection="0"/>
    <xf numFmtId="165" fontId="1" fillId="0" borderId="0" applyFont="0" applyFill="0" applyBorder="0" applyAlignment="0" applyProtection="0"/>
    <xf numFmtId="165" fontId="1" fillId="0" borderId="0" applyFont="0" applyFill="0" applyBorder="0" applyAlignment="0" applyProtection="0"/>
  </cellStyleXfs>
  <cellXfs count="15">
    <xf numFmtId="0" fontId="0" fillId="0" borderId="0" xfId="0"/>
    <xf numFmtId="0" fontId="4" fillId="0" borderId="0" xfId="0" applyFont="1"/>
    <xf numFmtId="0" fontId="5" fillId="0" borderId="0" xfId="0" applyFont="1"/>
    <xf numFmtId="0" fontId="4" fillId="4" borderId="0" xfId="0" applyFont="1" applyFill="1"/>
    <xf numFmtId="0" fontId="0" fillId="4" borderId="0" xfId="0" applyFill="1"/>
    <xf numFmtId="0" fontId="2" fillId="2" borderId="1" xfId="1"/>
    <xf numFmtId="164" fontId="3" fillId="3" borderId="1" xfId="2" applyNumberFormat="1"/>
    <xf numFmtId="3" fontId="0" fillId="0" borderId="0" xfId="0" applyNumberFormat="1"/>
    <xf numFmtId="166" fontId="3" fillId="3" borderId="1" xfId="2" applyNumberFormat="1"/>
    <xf numFmtId="0" fontId="6" fillId="0" borderId="0" xfId="0" applyFont="1" applyAlignment="1">
      <alignment horizontal="left" vertical="center" indent="1"/>
    </xf>
    <xf numFmtId="167" fontId="3" fillId="3" borderId="1" xfId="2" applyNumberFormat="1"/>
    <xf numFmtId="167" fontId="2" fillId="2" borderId="1" xfId="1" applyNumberFormat="1"/>
    <xf numFmtId="0" fontId="3" fillId="3" borderId="1" xfId="2"/>
    <xf numFmtId="165" fontId="3" fillId="3" borderId="1" xfId="2" applyNumberFormat="1"/>
    <xf numFmtId="165" fontId="0" fillId="0" borderId="0" xfId="4" applyFont="1"/>
  </cellXfs>
  <cellStyles count="5">
    <cellStyle name="Berekening" xfId="2" builtinId="22"/>
    <cellStyle name="Invoer" xfId="1" builtinId="20"/>
    <cellStyle name="Komma" xfId="4" builtinId="3"/>
    <cellStyle name="Komma 2" xfId="3" xr:uid="{AA4F2D59-11CB-490E-9CDF-2768117DA179}"/>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storo/Google%20Drive/dev_general/OSM_overpassturbo_0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rchMap1"/>
      <sheetName val="SearchMap2"/>
      <sheetName val="Output"/>
      <sheetName val="Murals"/>
      <sheetName val="MapFeatures"/>
      <sheetName val="CALC"/>
      <sheetName val="EXAMPLES"/>
      <sheetName val="OSM_overpassturbo_008"/>
    </sheetNames>
    <sheetDataSet>
      <sheetData sheetId="0"/>
      <sheetData sheetId="1"/>
      <sheetData sheetId="2"/>
      <sheetData sheetId="3"/>
      <sheetData sheetId="4"/>
      <sheetData sheetId="5"/>
      <sheetData sheetId="6"/>
      <sheetData sheetId="7" refreshError="1"/>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16">
  <rv s="0">
    <v>https://www.bing.com</v>
    <v>Bing</v>
  </rv>
  <rv s="0">
    <v>https://www.bing.com/th?id=Ga%5Cbing_yt.png&amp;w=100&amp;h=40&amp;c=0&amp;pid=0.1</v>
    <v>Bing</v>
  </rv>
  <rv s="0">
    <v>https://creativecommons.org/licenses/by-sa/3.0</v>
    <v>CC BY-SA 3.0</v>
  </rv>
  <rv s="0">
    <v>http://en.wikipedia.org/wiki/Amsterdam</v>
    <v>Wikipedia</v>
  </rv>
  <rv s="1">
    <v>2</v>
    <v>3</v>
  </rv>
  <rv s="2">
    <v>12</v>
    <v>https://www.bing.com/th?id=AMMS_9320613d7816863ae5373a89212c298a&amp;qlt=95</v>
    <v>4</v>
    <v>https://www.bing.com/images/search?form=xlimg&amp;q=amsterdam</v>
    <v>Image of Amsterdam</v>
    <v/>
  </rv>
  <rv s="0">
    <v>https://www.bing.com/search?q=amsterdam&amp;form=skydnc</v>
    <v>Learn more on Bing</v>
  </rv>
  <rv s="3">
    <v>0</v>
    <v>1</v>
    <v>en-US</v>
    <v>0b840501-8599-9528-5b22-13589caf205a</v>
    <v>536870912</v>
    <v>536870913</v>
    <v>1</v>
    <v>Powered by Bing</v>
    <v>5</v>
    <v>6</v>
    <v>Amsterdam</v>
    <v>9</v>
    <v>10</v>
    <v>Map</v>
    <v>11</v>
    <v>North Holland</v>
    <v>219</v>
    <v>Netherlands</v>
    <v>Amsterdam is the capital and most populous city of the Netherlands with a population of 872,680 within the city proper, 1,380,872 in the urban area and 2,410,960 in the metropolitan area. Found within the province of North Holland, Amsterdam is colloquially referred to as the "Venice of the North", attributed by the large number of canals which form a UNESCO World Heritage Site.</v>
    <v>5</v>
    <v>52.373166300000001</v>
    <v>Femke Halsema (Mayor)</v>
    <v>6</v>
    <v>4.8906596000000002</v>
    <v>Amsterdam</v>
    <v>872680</v>
    <v>Central European Summer Time, Central European Time Zone, W. Europe Standard Time</v>
    <v>Amsterdam</v>
    <v>mdp/vdpid/7009530453665251330</v>
  </rv>
  <rv s="4">
    <v>7</v>
  </rv>
  <rv s="0">
    <v>https://creativecommons.org/licenses/by-sa/4.0</v>
    <v>CC BY-SA 4.0</v>
  </rv>
  <rv s="0">
    <v>http://en.wikipedia.org/wiki/Utrecht</v>
    <v>Wikipedia</v>
  </rv>
  <rv s="1">
    <v>9</v>
    <v>10</v>
  </rv>
  <rv s="2">
    <v>12</v>
    <v>https://www.bing.com/th?id=AMMS_a12d4ced69dd86706e80bbdfac3dcf25&amp;qlt=95</v>
    <v>11</v>
    <v>https://www.bing.com/images/search?form=xlimg&amp;q=utrecht</v>
    <v>Image of Utrecht</v>
    <v/>
  </rv>
  <rv s="0">
    <v>https://www.bing.com/search?q=utrecht&amp;form=skydnc</v>
    <v>Learn more on Bing</v>
  </rv>
  <rv s="5">
    <v>0</v>
    <v>1</v>
    <v>en-US</v>
    <v>a8d8cc1d-91dc-bb11-1cb7-dbf0d0b18369</v>
    <v>536870912</v>
    <v>536870913</v>
    <v>1</v>
    <v>Powered by Bing</v>
    <v>18</v>
    <v>19</v>
    <v>Utrecht</v>
    <v>9</v>
    <v>20</v>
    <v>Map</v>
    <v>21</v>
    <v>Utrecht</v>
    <v>Netherlands</v>
    <v>Utrecht is the fourth-largest city and a municipality of the Netherlands, capital and most populous city of the province of Utrecht. It is located in the eastern corner of the Randstad conurbation, in the very centre of mainland Netherlands; it had a population of 357,179 as of 2019.</v>
    <v>12</v>
    <v>52.091262299999997</v>
    <v>Peter den Oudsten (Mayor)</v>
    <v>13</v>
    <v>5.1227478</v>
    <v>Utrecht</v>
    <v>358454</v>
    <v>Central European Summer Time, Central European Time Zone, W. Europe Standard Time</v>
    <v>Utrecht</v>
    <v>mdp/vdpid/7009561580031442960</v>
  </rv>
  <rv s="4">
    <v>14</v>
  </rv>
</rvData>
</file>

<file path=xl/richData/rdrichvaluestructure.xml><?xml version="1.0" encoding="utf-8"?>
<rvStructures xmlns="http://schemas.microsoft.com/office/spreadsheetml/2017/richdata" count="6">
  <s t="_hyperlink">
    <k n="Address" t="s"/>
    <k n="Text" t="s"/>
  </s>
  <s t="_sourceattribution">
    <k n="License" t="r"/>
    <k n="Source" t="r"/>
  </s>
  <s t="_imageurl">
    <k n="_Provider" t="spb"/>
    <k n="Address" t="s"/>
    <k n="Attribution" t="r"/>
    <k n="More Images Address" t="s"/>
    <k n="Text" t="s"/>
    <k n="Blip Identifier" t="s"/>
  </s>
  <s t="_linkedentitycore">
    <k n="%DataProviderExternalLink" t="r"/>
    <k n="%DataProviderExternalLinkLogo" t="r"/>
    <k n="%EntityCulture" t="s"/>
    <k n="%EntityId" t="s"/>
    <k n="%EntityServiceId"/>
    <k n="%EntitySubDomainId"/>
    <k n="%IsRefreshable" t="b"/>
    <k n="%ProviderInfo" t="s"/>
    <k n="_Attribution" t="spb"/>
    <k n="_Display" t="spb"/>
    <k n="_DisplayString" t="s"/>
    <k n="_Flags" t="spb"/>
    <k n="_Format" t="spb"/>
    <k n="_Icon" t="s"/>
    <k n="_SubLabel" t="spb"/>
    <k n="Admin Division 1 (State/province/other)" t="s"/>
    <k n="Area"/>
    <k n="Country/region" t="s"/>
    <k n="Description" t="s"/>
    <k n="Image" t="r"/>
    <k n="Latitude"/>
    <k n="Leader(s)" t="s"/>
    <k n="LearnMoreOnLink" t="r"/>
    <k n="Longitude"/>
    <k n="Name" t="s"/>
    <k n="Population"/>
    <k n="Time zone(s)" t="s"/>
    <k n="UniqueName" t="s"/>
    <k n="VDPID/VSID" t="s"/>
  </s>
  <s t="_linkedentity">
    <k n="%cvi" t="r"/>
  </s>
  <s t="_linkedentitycore">
    <k n="%DataProviderExternalLink" t="r"/>
    <k n="%DataProviderExternalLinkLogo" t="r"/>
    <k n="%EntityCulture" t="s"/>
    <k n="%EntityId" t="s"/>
    <k n="%EntityServiceId"/>
    <k n="%EntitySubDomainId"/>
    <k n="%IsRefreshable" t="b"/>
    <k n="%ProviderInfo" t="s"/>
    <k n="_Attribution" t="spb"/>
    <k n="_Display" t="spb"/>
    <k n="_DisplayString" t="s"/>
    <k n="_Flags" t="spb"/>
    <k n="_Format" t="spb"/>
    <k n="_Icon" t="s"/>
    <k n="_SubLabel" t="spb"/>
    <k n="Admin Division 1 (State/province/other)" t="s"/>
    <k n="Country/region" t="s"/>
    <k n="Description" t="s"/>
    <k n="Image" t="r"/>
    <k n="Latitude"/>
    <k n="Leader(s)" t="s"/>
    <k n="LearnMoreOnLink" t="r"/>
    <k n="Longitude"/>
    <k n="Name" t="s"/>
    <k n="Population"/>
    <k n="Time zone(s)" t="s"/>
    <k n="UniqueName" t="s"/>
    <k n="VDPID/VSID" t="s"/>
  </s>
</rvStructures>
</file>

<file path=xl/richData/rdsupportingpropertybag.xml><?xml version="1.0" encoding="utf-8"?>
<supportingPropertyBags xmlns="http://schemas.microsoft.com/office/spreadsheetml/2017/richdata2">
  <spbArrays count="2">
    <a count="29">
      <v t="s">%EntityServiceId</v>
      <v t="s">_Format</v>
      <v t="s">%EntitySubDomainId</v>
      <v t="s">%IsRefreshable</v>
      <v t="s">%EntityCulture</v>
      <v t="s">%EntityId</v>
      <v t="s">_Icon</v>
      <v t="s">_Attribution</v>
      <v t="s">Name</v>
      <v t="s">Admin Division 1 (State/province/other)</v>
      <v t="s">Country/region</v>
      <v t="s">Leader(s)</v>
      <v t="s">_SubLabel</v>
      <v t="s">Population</v>
      <v t="s">Area</v>
      <v t="s">Latitude</v>
      <v t="s">Longitude</v>
      <v t="s">Time zone(s)</v>
      <v t="s">_Flags</v>
      <v t="s">VDPID/VSID</v>
      <v t="s">UniqueName</v>
      <v t="s">_DisplayString</v>
      <v t="s">%ProviderInfo</v>
      <v t="s">%DataProviderExternalLink</v>
      <v t="s">%DataProviderExternalLinkLogo</v>
      <v t="s">LearnMoreOnLink</v>
      <v t="s">Image</v>
      <v t="s">Description</v>
      <v t="s">_Display</v>
    </a>
    <a count="28">
      <v t="s">%EntityServiceId</v>
      <v t="s">_Format</v>
      <v t="s">%EntitySubDomainId</v>
      <v t="s">%IsRefreshable</v>
      <v t="s">%EntityCulture</v>
      <v t="s">%EntityId</v>
      <v t="s">_Icon</v>
      <v t="s">_Attribution</v>
      <v t="s">Name</v>
      <v t="s">Admin Division 1 (State/province/other)</v>
      <v t="s">Country/region</v>
      <v t="s">Leader(s)</v>
      <v t="s">_SubLabel</v>
      <v t="s">Population</v>
      <v t="s">Latitude</v>
      <v t="s">Longitude</v>
      <v t="s">Time zone(s)</v>
      <v t="s">_Flags</v>
      <v t="s">VDPID/VSID</v>
      <v t="s">UniqueName</v>
      <v t="s">_DisplayString</v>
      <v t="s">%ProviderInfo</v>
      <v t="s">%DataProviderExternalLink</v>
      <v t="s">%DataProviderExternalLinkLogo</v>
      <v t="s">LearnMoreOnLink</v>
      <v t="s">Image</v>
      <v t="s">Description</v>
      <v t="s">_Display</v>
    </a>
  </spbArrays>
  <spbData count="22">
    <spb s="0">
      <v xml:space="preserve">Wikipedia	</v>
      <v xml:space="preserve">CC-BY-SA	</v>
      <v xml:space="preserve">http://en.wikipedia.org/wiki/Amsterdam	</v>
      <v xml:space="preserve">http://creativecommons.org/licenses/by-sa/3.0/	</v>
    </spb>
    <spb s="0">
      <v xml:space="preserve">Wikipedia	Sec	Weathertrends360	</v>
      <v xml:space="preserve">CC-BY-SA			</v>
      <v xml:space="preserve">http://en.wikipedia.org/wiki/Amsterdam	https://www.sec.gov/cgi-bin/browse-edgar?action=getcompany&amp;CIK=0001707753	https://www.weathertrends360.com/	</v>
      <v xml:space="preserve">http://creativecommons.org/licenses/by-sa/3.0/			</v>
    </spb>
    <spb s="0">
      <v xml:space="preserve">Wikipedia	Wikipedia	</v>
      <v xml:space="preserve">CC-BY-SA	CC-BY-SA	</v>
      <v xml:space="preserve">http://en.wikipedia.org/wiki/Amsterdam	https://en.wikipedia.org/wiki/Amsterdam	</v>
      <v xml:space="preserve">http://creativecommons.org/licenses/by-sa/3.0/	http://creativecommons.org/licenses/by-sa/3.0/	</v>
    </spb>
    <spb s="0">
      <v xml:space="preserve">Wikipedia	Wikipedia	</v>
      <v xml:space="preserve">CC-BY-SA	CC-BY-SA	</v>
      <v xml:space="preserve">http://en.wikipedia.org/wiki/Amsterdam	http://en.wikipedia.org/wiki/Amsterdam	</v>
      <v xml:space="preserve">http://creativecommons.org/licenses/by-sa/3.0/	http://creativecommons.org/licenses/by-sa/3.0/	</v>
    </spb>
    <spb s="0">
      <v xml:space="preserve">Wikipedia	Wikipedia	Sec	</v>
      <v xml:space="preserve">CC-BY-SA	CC-BY-SA		</v>
      <v xml:space="preserve">http://en.wikipedia.org/wiki/Amsterdam	https://en.wikipedia.org/wiki/Amsterdam	https://www.sec.gov/cgi-bin/browse-edgar?action=getcompany&amp;CIK=0001707753	</v>
      <v xml:space="preserve">http://creativecommons.org/licenses/by-sa/3.0/	http://creativecommons.org/licenses/by-sa/3.0/		</v>
    </spb>
    <spb s="1">
      <v>0</v>
      <v>1</v>
      <v>2</v>
      <v>0</v>
      <v>1</v>
      <v>0</v>
      <v>3</v>
      <v>4</v>
      <v>0</v>
    </spb>
    <spb s="2">
      <v>0</v>
    </spb>
    <spb s="3">
      <v>0</v>
      <v>0</v>
    </spb>
    <spb s="4">
      <v>0</v>
      <v>0</v>
      <v>0</v>
    </spb>
    <spb s="5">
      <v>7</v>
      <v>8</v>
      <v>8</v>
      <v>7</v>
      <v>8</v>
      <v>8</v>
      <v>8</v>
    </spb>
    <spb s="6">
      <v>1</v>
      <v>2</v>
      <v>3</v>
      <v>4</v>
      <v>4</v>
      <v>1</v>
      <v>5</v>
      <v>6</v>
      <v>7</v>
      <v>7</v>
    </spb>
    <spb s="7">
      <v>square km</v>
      <v>2019</v>
    </spb>
    <spb s="8">
      <v>https://www.bing.com</v>
      <v>https://www.bing.com/th?id=Ga%5Cbing_yt.png&amp;w=100&amp;h=40&amp;c=0&amp;pid=0.1</v>
      <v>Powered by Bing</v>
    </spb>
    <spb s="0">
      <v xml:space="preserve">Wikipedia	Sec	</v>
      <v xml:space="preserve">CC-BY-SA		</v>
      <v xml:space="preserve">http://en.wikipedia.org/wiki/Utrecht	https://www.sec.gov/cgi-bin/browse-edgar?action=getcompany&amp;CIK=0001619124	</v>
      <v xml:space="preserve">http://creativecommons.org/licenses/by-sa/3.0/		</v>
    </spb>
    <spb s="0">
      <v xml:space="preserve">Wikipedia	Wikipedia	</v>
      <v xml:space="preserve">CC-BY-SA	CC-BY-SA	</v>
      <v xml:space="preserve">http://en.wikipedia.org/wiki/Utrecht	https://en.wikipedia.org/wiki/Utrecht	</v>
      <v xml:space="preserve">http://creativecommons.org/licenses/by-sa/3.0/	http://creativecommons.org/licenses/by-sa/3.0/	</v>
    </spb>
    <spb s="0">
      <v xml:space="preserve">Wikipedia	</v>
      <v xml:space="preserve">CC-BY-SA	</v>
      <v xml:space="preserve">http://en.wikipedia.org/wiki/Utrecht	</v>
      <v xml:space="preserve">http://creativecommons.org/licenses/by-sa/3.0/	</v>
    </spb>
    <spb s="0">
      <v xml:space="preserve">Wikipedia	Wikipedia	</v>
      <v xml:space="preserve">CC-BY-SA	CC-BY-SA	</v>
      <v xml:space="preserve">http://en.wikipedia.org/wiki/Utrecht	http://en.wikipedia.org/wiki/Utrecht	</v>
      <v xml:space="preserve">http://creativecommons.org/licenses/by-sa/3.0/	http://creativecommons.org/licenses/by-sa/3.0/	</v>
    </spb>
    <spb s="0">
      <v xml:space="preserve">Wikipedia	Wikipedia	Sec	</v>
      <v xml:space="preserve">CC-BY-SA	CC-BY-SA		</v>
      <v xml:space="preserve">http://en.wikipedia.org/wiki/Utrecht	https://en.wikipedia.org/wiki/Utrecht	https://www.sec.gov/cgi-bin/browse-edgar?action=getcompany&amp;CIK=0001619124	</v>
      <v xml:space="preserve">http://creativecommons.org/licenses/by-sa/3.0/	http://creativecommons.org/licenses/by-sa/3.0/		</v>
    </spb>
    <spb s="9">
      <v>13</v>
      <v>14</v>
      <v>15</v>
      <v>13</v>
      <v>15</v>
      <v>16</v>
      <v>17</v>
      <v>15</v>
    </spb>
    <spb s="2">
      <v>1</v>
    </spb>
    <spb s="10">
      <v>2</v>
      <v>3</v>
      <v>4</v>
      <v>4</v>
      <v>1</v>
      <v>5</v>
      <v>6</v>
      <v>7</v>
      <v>7</v>
    </spb>
    <spb s="11">
      <v>2020</v>
    </spb>
  </spbData>
</supportingPropertyBags>
</file>

<file path=xl/richData/rdsupportingpropertybagstructure.xml><?xml version="1.0" encoding="utf-8"?>
<spbStructures xmlns="http://schemas.microsoft.com/office/spreadsheetml/2017/richdata2" count="12">
  <s>
    <k n="SourceText" t="s"/>
    <k n="LicenseText" t="s"/>
    <k n="SourceAddress" t="s"/>
    <k n="LicenseAddress" t="s"/>
  </s>
  <s>
    <k n="Area" t="spb"/>
    <k n="Name" t="spb"/>
    <k n="Leader(s)" t="spb"/>
    <k n="Population" t="spb"/>
    <k n="UniqueName" t="spb"/>
    <k n="Description" t="spb"/>
    <k n="Time zone(s)" t="spb"/>
    <k n="Country/region" t="spb"/>
    <k n="Admin Division 1 (State/province/other)" t="spb"/>
  </s>
  <s>
    <k n="^Order" t="spba"/>
  </s>
  <s>
    <k n="ShowInDotNotation" t="b"/>
    <k n="ShowInAutoComplete" t="b"/>
  </s>
  <s>
    <k n="ShowInCardView" t="b"/>
    <k n="ShowInDotNotation" t="b"/>
    <k n="ShowInAutoComplete" t="b"/>
  </s>
  <s>
    <k n="Image" t="spb"/>
    <k n="UniqueName" t="spb"/>
    <k n="VDPID/VSID" t="spb"/>
    <k n="Description" t="spb"/>
    <k n="%ProviderInfo" t="spb"/>
    <k n="%DataProviderExternalLink" t="spb"/>
    <k n="%DataProviderExternalLinkLogo" t="spb"/>
  </s>
  <s>
    <k n="Area" t="i"/>
    <k n="Name" t="i"/>
    <k n="Image" t="i"/>
    <k n="Latitude" t="i"/>
    <k n="Longitude" t="i"/>
    <k n="Population" t="i"/>
    <k n="Description" t="i"/>
    <k n="_DisplayString" t="i"/>
    <k n="%EntityServiceId" t="i"/>
    <k n="%EntitySubDomainId" t="i"/>
  </s>
  <s>
    <k n="Area" t="s"/>
    <k n="Population" t="s"/>
  </s>
  <s>
    <k n="link" t="s"/>
    <k n="logo" t="s"/>
    <k n="name" t="s"/>
  </s>
  <s>
    <k n="Name" t="spb"/>
    <k n="Leader(s)" t="spb"/>
    <k n="Population" t="spb"/>
    <k n="UniqueName" t="spb"/>
    <k n="Description" t="spb"/>
    <k n="Time zone(s)" t="spb"/>
    <k n="Country/region" t="spb"/>
    <k n="Admin Division 1 (State/province/other)" t="spb"/>
  </s>
  <s>
    <k n="Name" t="i"/>
    <k n="Image" t="i"/>
    <k n="Latitude" t="i"/>
    <k n="Longitude" t="i"/>
    <k n="Population" t="i"/>
    <k n="Description" t="i"/>
    <k n="_DisplayString" t="i"/>
    <k n="%EntityServiceId" t="i"/>
    <k n="%EntitySubDomainId" t="i"/>
  </s>
  <s>
    <k n="Population"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3">
    <x:dxf>
      <x:numFmt numFmtId="3" formatCode="#,##0"/>
    </x:dxf>
    <x:dxf>
      <x:numFmt numFmtId="164" formatCode="0.0000"/>
    </x:dxf>
    <x:dxf>
      <x:numFmt numFmtId="2" formatCode="0.00"/>
    </x:dxf>
  </dxfs>
  <richProperties>
    <rPr n="IsTitleField" t="b"/>
    <rPr n="IsHeroField" t="b"/>
    <rPr n="RequiresInlineAttribution" t="b"/>
    <rPr n="ShouldShowInCell" t="b"/>
  </richProperties>
  <richStyles>
    <rSty dxfid="0"/>
    <rSty>
      <rpv i="0">1</rpv>
    </rSty>
    <rSty>
      <rpv i="1">1</rpv>
    </rSty>
    <rSty dxfid="1"/>
    <rSty>
      <rpv i="2">1</rpv>
    </rSty>
    <rSty>
      <rpv i="3">1</rpv>
    </rSty>
    <rSty dxfid="2"/>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32C0A-16AB-414F-B05D-213260CA42DA}">
  <sheetPr codeName="Blad3"/>
  <dimension ref="B2:K75"/>
  <sheetViews>
    <sheetView showGridLines="0" tabSelected="1" topLeftCell="A52" zoomScaleNormal="100" workbookViewId="0">
      <selection activeCell="G81" sqref="G81"/>
    </sheetView>
  </sheetViews>
  <sheetFormatPr defaultRowHeight="15"/>
  <cols>
    <col min="1" max="2" width="2.7109375" customWidth="1"/>
    <col min="3" max="3" width="33.85546875" customWidth="1"/>
    <col min="4" max="5" width="26.7109375" customWidth="1"/>
    <col min="6" max="6" width="29.7109375" customWidth="1"/>
    <col min="7" max="9" width="26.7109375" customWidth="1"/>
    <col min="11" max="11" width="11.28515625" customWidth="1"/>
  </cols>
  <sheetData>
    <row r="2" spans="2:11">
      <c r="B2" s="1" t="s">
        <v>19</v>
      </c>
    </row>
    <row r="3" spans="2:11">
      <c r="C3" s="2" t="s">
        <v>0</v>
      </c>
    </row>
    <row r="4" spans="2:11">
      <c r="C4" s="2" t="s">
        <v>1</v>
      </c>
    </row>
    <row r="5" spans="2:11">
      <c r="C5" s="2"/>
    </row>
    <row r="6" spans="2:11">
      <c r="B6" s="3" t="s">
        <v>20</v>
      </c>
      <c r="C6" s="4"/>
      <c r="D6" s="4"/>
      <c r="E6" s="4"/>
      <c r="F6" s="4"/>
      <c r="G6" s="4"/>
      <c r="H6" s="4"/>
      <c r="I6" s="4"/>
      <c r="J6" s="4"/>
      <c r="K6" s="4"/>
    </row>
    <row r="7" spans="2:11">
      <c r="D7" s="1" t="s">
        <v>2</v>
      </c>
      <c r="E7" s="1" t="s">
        <v>3</v>
      </c>
    </row>
    <row r="8" spans="2:11">
      <c r="C8" s="5" t="e" vm="1">
        <v>#VALUE!</v>
      </c>
      <c r="D8" s="6" cm="1">
        <f t="array" ref="D8">_FV(C8,"Latitude")</f>
        <v>52.373166300000001</v>
      </c>
      <c r="E8" s="6" cm="1">
        <f t="array" ref="E8">_FV(C8,"Longitude")</f>
        <v>4.8906596000000002</v>
      </c>
      <c r="F8" s="7"/>
    </row>
    <row r="9" spans="2:11">
      <c r="C9" s="5" t="e" vm="2">
        <v>#VALUE!</v>
      </c>
      <c r="D9" s="6" cm="1">
        <f t="array" ref="D9">_FV(C9,"Latitude")</f>
        <v>52.091262299999997</v>
      </c>
      <c r="E9" s="6" cm="1">
        <f t="array" ref="E9">_FV(C9,"Longitude")</f>
        <v>5.1227478</v>
      </c>
    </row>
    <row r="11" spans="2:11">
      <c r="B11" s="3" t="s">
        <v>4</v>
      </c>
      <c r="C11" s="4"/>
      <c r="D11" s="4"/>
      <c r="E11" s="4"/>
      <c r="F11" s="4"/>
      <c r="G11" s="4"/>
      <c r="H11" s="4"/>
      <c r="I11" s="4"/>
      <c r="J11" s="4"/>
      <c r="K11" s="4"/>
    </row>
    <row r="12" spans="2:11">
      <c r="C12" t="s">
        <v>5</v>
      </c>
      <c r="D12" s="13">
        <f>ACOS(COS(RADIANS(90-D9)) *COS(RADIANS(90-D8)) +SIN(RADIANS(90-D9)) *SIN(RADIANS(90-D8)) *COS(RADIANS(E9-E8))) *6370.97327862*1000</f>
        <v>35105.573578946671</v>
      </c>
    </row>
    <row r="13" spans="2:11">
      <c r="C13" t="s">
        <v>6</v>
      </c>
      <c r="D13" s="13" cm="1">
        <f t="array" ref="D13">geo_distance(D8,E8,D9,E9)</f>
        <v>35105.573578846735</v>
      </c>
    </row>
    <row r="15" spans="2:11">
      <c r="B15" s="3" t="s">
        <v>7</v>
      </c>
      <c r="C15" s="4"/>
      <c r="D15" s="4"/>
      <c r="E15" s="4"/>
      <c r="F15" s="4"/>
      <c r="G15" s="4"/>
      <c r="H15" s="4"/>
      <c r="I15" s="4"/>
      <c r="J15" s="4"/>
      <c r="K15" s="4"/>
    </row>
    <row r="16" spans="2:11">
      <c r="C16" t="s">
        <v>5</v>
      </c>
      <c r="D16" s="8">
        <f>(6370.97327862*1000*2*PI())^2*ABS((E9-E8)/360*(COS(RADIANS(D9))+COS(RADIANS(D8)))*(D9-D8)/360/2)</f>
        <v>495448967.97146523</v>
      </c>
      <c r="G16" s="9"/>
    </row>
    <row r="17" spans="2:11">
      <c r="C17" t="s">
        <v>6</v>
      </c>
      <c r="D17" s="8" cm="1">
        <f t="array" ref="D17">geo_surface(D8,E8,D9,E9)</f>
        <v>495449967.45568383</v>
      </c>
      <c r="G17" s="9"/>
    </row>
    <row r="18" spans="2:11">
      <c r="D18" s="14"/>
    </row>
    <row r="19" spans="2:11">
      <c r="B19" s="3" t="s">
        <v>8</v>
      </c>
      <c r="C19" s="4"/>
      <c r="D19" s="4"/>
      <c r="E19" s="4"/>
      <c r="F19" s="4"/>
      <c r="G19" s="4"/>
      <c r="H19" s="4"/>
      <c r="I19" s="4"/>
      <c r="J19" s="4"/>
      <c r="K19" s="4"/>
    </row>
    <row r="20" spans="2:11">
      <c r="C20" s="1" t="s">
        <v>9</v>
      </c>
      <c r="D20" s="13" cm="1">
        <f t="array" ref="D20">geo_earth_radius()</f>
        <v>6370.9732786200002</v>
      </c>
    </row>
    <row r="21" spans="2:11">
      <c r="C21" s="1" t="s">
        <v>10</v>
      </c>
      <c r="D21" s="13" cm="1">
        <f t="array" ref="D21">geo_earth_radius("mi")</f>
        <v>3958.7392617999999</v>
      </c>
    </row>
    <row r="22" spans="2:11">
      <c r="C22" s="1" t="s">
        <v>11</v>
      </c>
      <c r="D22" s="13" cm="1">
        <f t="array" ref="D22">geo_earth_radius("nm")</f>
        <v>3437.7467700000002</v>
      </c>
    </row>
    <row r="24" spans="2:11">
      <c r="B24" s="3" t="s">
        <v>12</v>
      </c>
      <c r="C24" s="4"/>
      <c r="D24" s="4"/>
      <c r="E24" s="4"/>
      <c r="F24" s="4"/>
      <c r="G24" s="4"/>
      <c r="H24" s="4"/>
      <c r="I24" s="4"/>
      <c r="J24" s="4"/>
      <c r="K24" s="4"/>
    </row>
    <row r="26" spans="2:11">
      <c r="D26" s="1" t="s">
        <v>13</v>
      </c>
      <c r="E26" s="1" t="s">
        <v>14</v>
      </c>
      <c r="F26" s="1" t="s">
        <v>15</v>
      </c>
      <c r="G26" s="1" t="s">
        <v>16</v>
      </c>
    </row>
    <row r="27" spans="2:11">
      <c r="C27" t="s">
        <v>17</v>
      </c>
      <c r="D27" s="5">
        <v>52</v>
      </c>
      <c r="E27" s="5">
        <v>45</v>
      </c>
      <c r="F27" s="5">
        <v>8</v>
      </c>
      <c r="G27" s="10">
        <f>D27+(E27/60)+(F27/60/60)</f>
        <v>52.752222222222223</v>
      </c>
    </row>
    <row r="28" spans="2:11">
      <c r="D28" s="1" t="s">
        <v>16</v>
      </c>
      <c r="E28" s="1" t="s">
        <v>13</v>
      </c>
      <c r="F28" s="1" t="s">
        <v>14</v>
      </c>
      <c r="G28" s="1" t="s">
        <v>15</v>
      </c>
    </row>
    <row r="29" spans="2:11">
      <c r="C29" t="s">
        <v>18</v>
      </c>
      <c r="D29" s="11">
        <v>-51.9229135</v>
      </c>
      <c r="E29" s="12">
        <f>ROUNDDOWN(D29,0)</f>
        <v>-51</v>
      </c>
      <c r="F29" s="12">
        <f>ROUNDDOWN(((D29-E29)*60),0)</f>
        <v>-55</v>
      </c>
      <c r="G29" s="6">
        <f>((D29-(E29+(F29/60)))*60*60)</f>
        <v>-22.488600000008319</v>
      </c>
    </row>
    <row r="32" spans="2:11">
      <c r="B32" s="3" t="s">
        <v>21</v>
      </c>
      <c r="C32" s="4"/>
      <c r="D32" s="4"/>
      <c r="E32" s="4"/>
      <c r="F32" s="4"/>
      <c r="G32" s="4"/>
      <c r="H32" s="4"/>
      <c r="I32" s="4"/>
      <c r="J32" s="4"/>
      <c r="K32" s="4"/>
    </row>
    <row r="34" spans="3:6">
      <c r="C34" s="1" t="s">
        <v>22</v>
      </c>
    </row>
    <row r="35" spans="3:6">
      <c r="C35" s="2" t="s">
        <v>26</v>
      </c>
    </row>
    <row r="36" spans="3:6">
      <c r="C36" s="11" t="s">
        <v>27</v>
      </c>
      <c r="D36" s="12" t="str" cm="1">
        <f t="array" ref="D36">geo_nom_search(C36)</f>
        <v>52.0958697,5.116322</v>
      </c>
    </row>
    <row r="37" spans="3:6">
      <c r="C37" s="2" t="s">
        <v>28</v>
      </c>
    </row>
    <row r="38" spans="3:6">
      <c r="C38" s="11" t="s">
        <v>23</v>
      </c>
      <c r="D38" s="12" t="str" cm="1">
        <f t="array" ref="D38:D42">TRANSPOSE(geo_nom_search(C38,,FALSE,"lat,lon,display_name,osm_type,osm_id"))</f>
        <v>52.1063123</v>
      </c>
    </row>
    <row r="39" spans="3:6">
      <c r="D39" s="12" t="str">
        <v>5.0115417</v>
      </c>
    </row>
    <row r="40" spans="3:6">
      <c r="D40" s="12" t="str">
        <v>Dorpsstraat, Vleuterweide, Vleuten, Utrecht, Nederland, 3451BK, Nederland</v>
      </c>
      <c r="E40" s="12"/>
      <c r="F40" s="12"/>
    </row>
    <row r="41" spans="3:6">
      <c r="D41" s="12" t="str">
        <v>way</v>
      </c>
    </row>
    <row r="42" spans="3:6">
      <c r="D42" s="12" t="str">
        <v>7072654</v>
      </c>
    </row>
    <row r="43" spans="3:6">
      <c r="C43" s="2" t="s">
        <v>29</v>
      </c>
    </row>
    <row r="44" spans="3:6">
      <c r="C44" s="11" t="s">
        <v>24</v>
      </c>
      <c r="D44" s="12" t="str" cm="1">
        <f t="array" ref="D44:D46">TRANSPOSE(geo_nom_search(C44,,FALSE,"lat,lon,display_name"))</f>
        <v>52.716397</v>
      </c>
    </row>
    <row r="45" spans="3:6">
      <c r="D45" s="12" t="str">
        <v>4.8004599</v>
      </c>
    </row>
    <row r="46" spans="3:6">
      <c r="D46" s="12" t="str">
        <v>Dorpsstraat, Oudkarspel, Langedijk, Noord-Holland, Nederland, 1724RE, Nederland</v>
      </c>
      <c r="E46" s="12"/>
      <c r="F46" s="12"/>
    </row>
    <row r="49" spans="2:11">
      <c r="B49" s="1" t="s">
        <v>25</v>
      </c>
    </row>
    <row r="50" spans="2:11">
      <c r="C50" s="2" t="s">
        <v>30</v>
      </c>
    </row>
    <row r="51" spans="2:11">
      <c r="C51" s="11">
        <v>50</v>
      </c>
      <c r="D51" s="11">
        <v>5</v>
      </c>
      <c r="E51" s="12" t="str" cm="1">
        <f t="array" ref="E51">geo_nom_reverse(C51,D51)</f>
        <v>N835, Bièvre, Namur, Wallonie, 6929, Dinant</v>
      </c>
      <c r="F51" s="12"/>
    </row>
    <row r="52" spans="2:11">
      <c r="C52" s="2" t="s">
        <v>31</v>
      </c>
    </row>
    <row r="53" spans="2:11">
      <c r="C53" s="11">
        <v>52.1</v>
      </c>
      <c r="D53" s="11">
        <v>5.0999999999999996</v>
      </c>
      <c r="E53" s="12" t="str" cm="1">
        <f t="array" ref="E53:E59">TRANSPOSE(geo_nom_reverse(C53,D53,FALSE))</f>
        <v>15</v>
      </c>
    </row>
    <row r="54" spans="2:11">
      <c r="E54" s="12" t="str">
        <v>Dahliastraat</v>
      </c>
    </row>
    <row r="55" spans="2:11">
      <c r="E55" s="12" t="str">
        <v>Ondiep</v>
      </c>
    </row>
    <row r="56" spans="2:11">
      <c r="E56" s="12" t="str">
        <v>Utrecht</v>
      </c>
    </row>
    <row r="57" spans="2:11">
      <c r="E57" s="12" t="str">
        <v>Nederland</v>
      </c>
    </row>
    <row r="58" spans="2:11">
      <c r="E58" s="12" t="str">
        <v>3551ST</v>
      </c>
    </row>
    <row r="59" spans="2:11">
      <c r="E59" s="12" t="str">
        <v>Nederland</v>
      </c>
    </row>
    <row r="60" spans="2:11">
      <c r="C60" s="2" t="s">
        <v>32</v>
      </c>
    </row>
    <row r="61" spans="2:11">
      <c r="C61" s="11">
        <v>52.1</v>
      </c>
      <c r="D61" s="11">
        <v>5.0999999999999996</v>
      </c>
      <c r="E61" s="12" t="str" cm="1">
        <f t="array" ref="E61:F61">geo_nom_reverse(C61,D61,FALSE,"postcode,country_code")</f>
        <v>3551ST</v>
      </c>
      <c r="F61" s="12" t="str">
        <v>nl</v>
      </c>
    </row>
    <row r="64" spans="2:11">
      <c r="B64" s="3" t="s">
        <v>33</v>
      </c>
      <c r="C64" s="4"/>
      <c r="D64" s="4"/>
      <c r="E64" s="4"/>
      <c r="F64" s="4"/>
      <c r="G64" s="4"/>
      <c r="H64" s="4"/>
      <c r="I64" s="4"/>
      <c r="J64" s="4"/>
      <c r="K64" s="4"/>
    </row>
    <row r="66" spans="3:6">
      <c r="C66" s="2" t="s">
        <v>34</v>
      </c>
    </row>
    <row r="67" spans="3:6">
      <c r="C67" s="11" t="s">
        <v>35</v>
      </c>
      <c r="D67" s="11"/>
      <c r="E67" s="12" cm="1">
        <f t="array" ref="E67:F67">geo_img_data(C67)</f>
        <v>39.245833333333337</v>
      </c>
      <c r="F67" s="12">
        <v>22.738055555555558</v>
      </c>
    </row>
    <row r="68" spans="3:6">
      <c r="C68" s="2" t="s">
        <v>36</v>
      </c>
    </row>
    <row r="69" spans="3:6">
      <c r="C69" s="11" t="s">
        <v>37</v>
      </c>
      <c r="D69" s="11"/>
      <c r="E69" s="12" cm="1">
        <f t="array" ref="E69:E75">TRANSPOSE(geo_img_data(C69,"DateTime,EquipMake,EquipModel,ExifPixXDim,ExifPixYDim"))</f>
        <v>49.457777777777778</v>
      </c>
    </row>
    <row r="70" spans="3:6">
      <c r="E70" s="12">
        <v>7.5575000000000001</v>
      </c>
    </row>
    <row r="71" spans="3:6">
      <c r="E71" s="12" t="str">
        <v>2018:07:17 11:06:33</v>
      </c>
    </row>
    <row r="72" spans="3:6">
      <c r="E72" s="12" t="str">
        <v>samsung</v>
      </c>
    </row>
    <row r="73" spans="3:6">
      <c r="E73" s="12" t="str">
        <v>SM-G930F</v>
      </c>
    </row>
    <row r="74" spans="3:6">
      <c r="E74" s="12">
        <v>4032</v>
      </c>
    </row>
    <row r="75" spans="3:6">
      <c r="E75" s="12">
        <v>3024</v>
      </c>
    </row>
  </sheetData>
  <pageMargins left="0.7" right="0.7" top="0.75" bottom="0.75" header="0.3" footer="0.3"/>
  <pageSetup paperSize="9"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vt:i4>
      </vt:variant>
    </vt:vector>
  </HeadingPairs>
  <TitlesOfParts>
    <vt:vector size="1" baseType="lpstr">
      <vt:lpstr>EXAMPLES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Koen Rijnsent</dc:creator>
  <cp:lastModifiedBy>Koen Rijnsent</cp:lastModifiedBy>
  <dcterms:created xsi:type="dcterms:W3CDTF">2015-06-05T18:19:34Z</dcterms:created>
  <dcterms:modified xsi:type="dcterms:W3CDTF">2020-10-06T18:21:17Z</dcterms:modified>
</cp:coreProperties>
</file>